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ez-moi" sheetId="1" state="visible" r:id="rId3"/>
    <sheet name="Schema_BDD" sheetId="2" state="visible" r:id="rId4"/>
    <sheet name="Parcelles" sheetId="3" state="visible" r:id="rId5"/>
    <sheet name="Campagnes" sheetId="4" state="visible" r:id="rId6"/>
    <sheet name="Mesures" sheetId="5" state="visible" r:id="rId7"/>
    <sheet name="Cultures_reference" sheetId="6" state="visible" r:id="rId8"/>
    <sheet name="Analys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<sst xmlns="http://schemas.openxmlformats.org/spreadsheetml/2006/main" count="267" uniqueCount="154">
  <si>
    <t xml:space="preserve">Dispositif de mesure de fertilité du sol — Modèle de base de données et d'analyse</t>
  </si>
  <si>
    <t xml:space="preserve">Connectivité ESP32 ↔ téléphone (BLE + Wi-Fi SoftAP) · Serveur centralisé · Analyse par campagne de mesure</t>
  </si>
  <si>
    <t xml:space="preserve">Ce classeur traduit en feuilles de calcul la structure de données proposée pour le projet :</t>
  </si>
  <si>
    <t xml:space="preserve">• Schema_BDD : description des tables et des champs du serveur (parcelles, campagnes, mesures, cultures de référence, analyses).</t>
  </si>
  <si>
    <t xml:space="preserve">• Parcelles, Campagnes, Mesures : exemples de données telles qu'elles seraient enregistrées par le serveur, à partir des relevés BLE de l'ESP32.</t>
  </si>
  <si>
    <t xml:space="preserve">• Cultures_reference : fiches agronomiques (plages optimales par culture) utilisées pour le calcul du score d'adéquation.</t>
  </si>
  <si>
    <t xml:space="preserve">• Analyses : calcul, par campagne et par culture candidate, de la moyenne des mesures, de l'hétérogénéité du sol, du score d'adéquation et des recommandations.</t>
  </si>
  <si>
    <t xml:space="preserve">Légende des couleurs :</t>
  </si>
  <si>
    <t xml:space="preserve">  Texte bleu   = valeur saisie manuellement (donnée d'entrée).</t>
  </si>
  <si>
    <t xml:space="preserve">  Texte noir   = résultat calculé par une formule (ne pas écraser).</t>
  </si>
  <si>
    <t xml:space="preserve">  Fond jaune   = hypothèse ou seuil agronomique à vérifier auprès du CNRA / FAO avant usage réel.</t>
  </si>
  <si>
    <t xml:space="preserve">Les valeurs des feuilles Parcelles / Campagnes / Mesures / Analyses sont des exemples illustratifs.</t>
  </si>
  <si>
    <t xml:space="preserve">Remplacez-les par les relevés réels : les formules de la feuille Analyses se recalculent automatiquement.</t>
  </si>
  <si>
    <t xml:space="preserve">Schéma de la base de données côté serveur</t>
  </si>
  <si>
    <t xml:space="preserve">Table</t>
  </si>
  <si>
    <t xml:space="preserve">Champ</t>
  </si>
  <si>
    <t xml:space="preserve">Type</t>
  </si>
  <si>
    <t xml:space="preserve">Description</t>
  </si>
  <si>
    <t xml:space="preserve">parcelles</t>
  </si>
  <si>
    <t xml:space="preserve">id</t>
  </si>
  <si>
    <t xml:space="preserve">entier (clé primaire)</t>
  </si>
  <si>
    <t xml:space="preserve">Identifiant unique de la parcelle</t>
  </si>
  <si>
    <t xml:space="preserve">nom</t>
  </si>
  <si>
    <t xml:space="preserve">texte</t>
  </si>
  <si>
    <t xml:space="preserve">Nom donné par l'utilisateur (ex. « Champ Nord »)</t>
  </si>
  <si>
    <t xml:space="preserve">utilisateur_id</t>
  </si>
  <si>
    <t xml:space="preserve">entier (clé étrangère)</t>
  </si>
  <si>
    <t xml:space="preserve">Propriétaire de la parcelle (compte planteur)</t>
  </si>
  <si>
    <t xml:space="preserve">campagnes</t>
  </si>
  <si>
    <t xml:space="preserve">Identifiant unique de la campagne de mesure</t>
  </si>
  <si>
    <t xml:space="preserve">parcelle_id</t>
  </si>
  <si>
    <t xml:space="preserve">Parcelle concernée</t>
  </si>
  <si>
    <t xml:space="preserve">date_debut</t>
  </si>
  <si>
    <t xml:space="preserve">date/heure</t>
  </si>
  <si>
    <t xml:space="preserve">Horodatage du premier point mesuré</t>
  </si>
  <si>
    <t xml:space="preserve">date_fin</t>
  </si>
  <si>
    <t xml:space="preserve">Horodatage de la fin de la campagne (saisi par l'utilisateur)</t>
  </si>
  <si>
    <t xml:space="preserve">cultures_candidates</t>
  </si>
  <si>
    <t xml:space="preserve">liste de textes</t>
  </si>
  <si>
    <t xml:space="preserve">Cultures à évaluer pour cette campagne (ex. igname, maïs, tomate)</t>
  </si>
  <si>
    <t xml:space="preserve">statut</t>
  </si>
  <si>
    <t xml:space="preserve">en_cours / terminee / analysee</t>
  </si>
  <si>
    <t xml:space="preserve">mesures</t>
  </si>
  <si>
    <t xml:space="preserve">Identifiant unique du point de mesure</t>
  </si>
  <si>
    <t xml:space="preserve">campagne_id</t>
  </si>
  <si>
    <t xml:space="preserve">Campagne à laquelle rattacher ce point</t>
  </si>
  <si>
    <t xml:space="preserve">horodatage</t>
  </si>
  <si>
    <t xml:space="preserve">Instant de la mesure</t>
  </si>
  <si>
    <t xml:space="preserve">latitude</t>
  </si>
  <si>
    <t xml:space="preserve">décimal</t>
  </si>
  <si>
    <t xml:space="preserve">Position GPS du téléphone au moment de la mesure</t>
  </si>
  <si>
    <t xml:space="preserve">longitude</t>
  </si>
  <si>
    <t xml:space="preserve">humidite_pct</t>
  </si>
  <si>
    <t xml:space="preserve">Humidité volumique du sol (% VWC)</t>
  </si>
  <si>
    <t xml:space="preserve">ph</t>
  </si>
  <si>
    <t xml:space="preserve">pH du sol</t>
  </si>
  <si>
    <t xml:space="preserve">ec_us_cm</t>
  </si>
  <si>
    <t xml:space="preserve">Conductivité électrique (µS/cm), salinité</t>
  </si>
  <si>
    <t xml:space="preserve">azote_mgkg</t>
  </si>
  <si>
    <t xml:space="preserve">Azote N (mg/kg), si sonde NPK présente</t>
  </si>
  <si>
    <t xml:space="preserve">phosphore_mgkg</t>
  </si>
  <si>
    <t xml:space="preserve">Phosphore P (mg/kg)</t>
  </si>
  <si>
    <t xml:space="preserve">potassium_mgkg</t>
  </si>
  <si>
    <t xml:space="preserve">Potassium K (mg/kg)</t>
  </si>
  <si>
    <t xml:space="preserve">temperature_c</t>
  </si>
  <si>
    <t xml:space="preserve">Température du sol (°C)</t>
  </si>
  <si>
    <t xml:space="preserve">liaison</t>
  </si>
  <si>
    <t xml:space="preserve">BLE ou WIFI — mode de connexion utilisé pour ce point</t>
  </si>
  <si>
    <t xml:space="preserve">cultures_reference</t>
  </si>
  <si>
    <t xml:space="preserve">culture</t>
  </si>
  <si>
    <t xml:space="preserve">texte (clé primaire)</t>
  </si>
  <si>
    <t xml:space="preserve">Nom de la culture</t>
  </si>
  <si>
    <t xml:space="preserve">ph_min / ph_max</t>
  </si>
  <si>
    <t xml:space="preserve">Plage de pH optimale</t>
  </si>
  <si>
    <t xml:space="preserve">humidite_min / humidite_max</t>
  </si>
  <si>
    <t xml:space="preserve">Plage d'humidité du sol optimale (% VWC)</t>
  </si>
  <si>
    <t xml:space="preserve">ec_max</t>
  </si>
  <si>
    <t xml:space="preserve">Seuil de conductivité électrique toléré (µS/cm)</t>
  </si>
  <si>
    <t xml:space="preserve">temp_min / temp_max</t>
  </si>
  <si>
    <t xml:space="preserve">Plage de température du sol favorable (°C)</t>
  </si>
  <si>
    <t xml:space="preserve">source</t>
  </si>
  <si>
    <t xml:space="preserve">Référence de la donnée (CNRA, FAO EcoCrop, estimation à vérifier)</t>
  </si>
  <si>
    <t xml:space="preserve">analyses</t>
  </si>
  <si>
    <t xml:space="preserve">Identifiant unique du résultat d'analyse</t>
  </si>
  <si>
    <t xml:space="preserve">Campagne analysée</t>
  </si>
  <si>
    <t xml:space="preserve">culture_candidate</t>
  </si>
  <si>
    <t xml:space="preserve">texte (clé étrangère)</t>
  </si>
  <si>
    <t xml:space="preserve">Culture évaluée (réf. cultures_reference)</t>
  </si>
  <si>
    <t xml:space="preserve">moyenne des mesures</t>
  </si>
  <si>
    <t xml:space="preserve">décimal (×6)</t>
  </si>
  <si>
    <t xml:space="preserve">Humidité, pH, EC, N, P, K, température moyens sur la campagne</t>
  </si>
  <si>
    <t xml:space="preserve">ecart_type_humidite</t>
  </si>
  <si>
    <t xml:space="preserve">Indicateur d'hétérogénéité du sol sur la parcelle</t>
  </si>
  <si>
    <t xml:space="preserve">score</t>
  </si>
  <si>
    <t xml:space="preserve">décimal (0 à 1)</t>
  </si>
  <si>
    <t xml:space="preserve">Score d'adéquation sol / culture</t>
  </si>
  <si>
    <t xml:space="preserve">recommandations</t>
  </si>
  <si>
    <t xml:space="preserve">Apports ou corrections suggérés si le score n'est pas optimal</t>
  </si>
  <si>
    <t xml:space="preserve">Parcelles</t>
  </si>
  <si>
    <t xml:space="preserve">localite</t>
  </si>
  <si>
    <t xml:space="preserve">Champ Nord</t>
  </si>
  <si>
    <t xml:space="preserve">Yamoussoukro, zone de Lacs</t>
  </si>
  <si>
    <t xml:space="preserve">Champ Sud (bas-fond)</t>
  </si>
  <si>
    <t xml:space="preserve">Campagnes de mesure</t>
  </si>
  <si>
    <t xml:space="preserve">nom_parcelle</t>
  </si>
  <si>
    <t xml:space="preserve">2026-10-01 07:30</t>
  </si>
  <si>
    <t xml:space="preserve">2026-10-01 09:10</t>
  </si>
  <si>
    <t xml:space="preserve">Igname, Maïs, Tomate</t>
  </si>
  <si>
    <t xml:space="preserve">analysee</t>
  </si>
  <si>
    <t xml:space="preserve">2026-10-03 06:50</t>
  </si>
  <si>
    <t xml:space="preserve">2026-10-03 08:20</t>
  </si>
  <si>
    <t xml:space="preserve">Riz pluvial, Banane plantain</t>
  </si>
  <si>
    <t xml:space="preserve">Points de mesure (relevés BLE/Wi-Fi de l'ESP32)</t>
  </si>
  <si>
    <t xml:space="preserve">BLE</t>
  </si>
  <si>
    <t xml:space="preserve">2026-10-01 07:50</t>
  </si>
  <si>
    <t xml:space="preserve">2026-10-01 07:10</t>
  </si>
  <si>
    <t xml:space="preserve">2026-10-01 08:30</t>
  </si>
  <si>
    <t xml:space="preserve">2026-10-01 08:50</t>
  </si>
  <si>
    <t xml:space="preserve">2026-10-01 08:10</t>
  </si>
  <si>
    <t xml:space="preserve">WIFI</t>
  </si>
  <si>
    <t xml:space="preserve">2026-10-03 06:10</t>
  </si>
  <si>
    <t xml:space="preserve">2026-10-03 06:30</t>
  </si>
  <si>
    <t xml:space="preserve">2026-10-03 07:50</t>
  </si>
  <si>
    <t xml:space="preserve">2026-10-03 07:10</t>
  </si>
  <si>
    <t xml:space="preserve">Fiches agronomiques de référence (plages optimales par culture)</t>
  </si>
  <si>
    <t xml:space="preserve">Valeurs indicatives — à confirmer auprès du CNRA / FAO EcoCrop avant usage réel (voir colonne Source).</t>
  </si>
  <si>
    <t xml:space="preserve">ph_min</t>
  </si>
  <si>
    <t xml:space="preserve">ph_max</t>
  </si>
  <si>
    <t xml:space="preserve">humidite_min_pct</t>
  </si>
  <si>
    <t xml:space="preserve">humidite_max_pct</t>
  </si>
  <si>
    <t xml:space="preserve">ec_max_us_cm</t>
  </si>
  <si>
    <t xml:space="preserve">temp_min_c</t>
  </si>
  <si>
    <t xml:space="preserve">temp_max_c</t>
  </si>
  <si>
    <t xml:space="preserve">Manioc</t>
  </si>
  <si>
    <t xml:space="preserve">CNRA / FAO EcoCrop — estimation à vérifier</t>
  </si>
  <si>
    <t xml:space="preserve">Igname</t>
  </si>
  <si>
    <t xml:space="preserve">Riz pluvial</t>
  </si>
  <si>
    <t xml:space="preserve">Maïs</t>
  </si>
  <si>
    <t xml:space="preserve">Banane plantain</t>
  </si>
  <si>
    <t xml:space="preserve">Tomate</t>
  </si>
  <si>
    <t xml:space="preserve">FAO EcoCrop — estimation à vérifier</t>
  </si>
  <si>
    <t xml:space="preserve">Hypothèse : plages estimées à partir de l'agronomie générale (pH, texture, pluviométrie). À remplacer par des valeurs confirmées avant toute utilisation sur le terrain.</t>
  </si>
  <si>
    <t xml:space="preserve">Analyse par campagne et par culture candidate</t>
  </si>
  <si>
    <t xml:space="preserve">Les moyennes et écarts-types sont calculés à partir de la feuille Mesures ; le score et les recommandations comparent ces moyennes aux plages de Cultures_reference.</t>
  </si>
  <si>
    <t xml:space="preserve">n_points</t>
  </si>
  <si>
    <t xml:space="preserve">moy_humidite_pct</t>
  </si>
  <si>
    <t xml:space="preserve">moy_ph</t>
  </si>
  <si>
    <t xml:space="preserve">moy_ec_us_cm</t>
  </si>
  <si>
    <t xml:space="preserve">moy_temp_c</t>
  </si>
  <si>
    <t xml:space="preserve">score_humidite</t>
  </si>
  <si>
    <t xml:space="preserve">score_ph</t>
  </si>
  <si>
    <t xml:space="preserve">score_ec</t>
  </si>
  <si>
    <t xml:space="preserve">score_global</t>
  </si>
  <si>
    <t xml:space="preserve">classe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</si>
</sst>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00"/>
    <numFmt numFmtId="166" formatCode="0.0"/>
    <numFmt numFmtId="167" formatCode="0.00"/>
    <numFmt numFmtId="168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5C3A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8844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5C3A"/>
        <bgColor rgb="FF008000"/>
      </patternFill>
    </fill>
    <fill>
      <patternFill patternType="solid">
        <fgColor rgb="FFF6FAF7"/>
        <bgColor rgb="FFFFFFFF"/>
      </patternFill>
    </fill>
    <fill>
      <patternFill patternType="solid">
        <fgColor rgb="FFFFFF99"/>
        <bgColor rgb="FFF6FA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6FAF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884400"/>
      <rgbColor rgb="FF993366"/>
      <rgbColor rgb="FF333399"/>
      <rgbColor rgb="FF1F5C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/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/>
    </row>
    <row r="11" customFormat="false" ht="15" hidden="false" customHeight="false" outlineLevel="0" collapsed="false">
      <c r="A11" s="3" t="s">
        <v>7</v>
      </c>
    </row>
    <row r="12" customFormat="false" ht="15" hidden="false" customHeight="false" outlineLevel="0" collapsed="false">
      <c r="A12" s="3" t="s">
        <v>8</v>
      </c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3"/>
    </row>
    <row r="16" customFormat="false" ht="15" hidden="false" customHeight="false" outlineLevel="0" collapsed="false">
      <c r="A16" s="3" t="s">
        <v>11</v>
      </c>
    </row>
    <row r="17" customFormat="false" ht="15" hidden="false" customHeight="false" outlineLevel="0" collapsed="false">
      <c r="A17" s="3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22"/>
    <col collapsed="false" customWidth="true" hidden="false" outlineLevel="0" max="4" min="4" style="0" width="55"/>
  </cols>
  <sheetData>
    <row r="1" customFormat="false" ht="17.35" hidden="false" customHeight="false" outlineLevel="0" collapsed="false">
      <c r="A1" s="1" t="s">
        <v>13</v>
      </c>
    </row>
    <row r="3" customFormat="false" ht="27.75" hidden="false" customHeight="true" outlineLevel="0" collapsed="false">
      <c r="A3" s="4" t="s">
        <v>14</v>
      </c>
      <c r="B3" s="4" t="s">
        <v>15</v>
      </c>
      <c r="C3" s="4" t="s">
        <v>16</v>
      </c>
      <c r="D3" s="4" t="s">
        <v>17</v>
      </c>
    </row>
    <row r="4" customFormat="false" ht="15" hidden="false" customHeight="false" outlineLevel="0" collapsed="false">
      <c r="A4" s="5" t="s">
        <v>18</v>
      </c>
      <c r="B4" s="5" t="s">
        <v>19</v>
      </c>
      <c r="C4" s="5" t="s">
        <v>20</v>
      </c>
      <c r="D4" s="5" t="s">
        <v>21</v>
      </c>
    </row>
    <row r="5" customFormat="false" ht="15" hidden="false" customHeight="false" outlineLevel="0" collapsed="false">
      <c r="A5" s="6" t="s">
        <v>18</v>
      </c>
      <c r="B5" s="6" t="s">
        <v>22</v>
      </c>
      <c r="C5" s="6" t="s">
        <v>23</v>
      </c>
      <c r="D5" s="6" t="s">
        <v>24</v>
      </c>
    </row>
    <row r="6" customFormat="false" ht="15" hidden="false" customHeight="false" outlineLevel="0" collapsed="false">
      <c r="A6" s="5" t="s">
        <v>18</v>
      </c>
      <c r="B6" s="5" t="s">
        <v>25</v>
      </c>
      <c r="C6" s="5" t="s">
        <v>26</v>
      </c>
      <c r="D6" s="5" t="s">
        <v>27</v>
      </c>
    </row>
    <row r="7" customFormat="false" ht="15" hidden="false" customHeight="false" outlineLevel="0" collapsed="false">
      <c r="A7" s="6" t="s">
        <v>28</v>
      </c>
      <c r="B7" s="6" t="s">
        <v>19</v>
      </c>
      <c r="C7" s="6" t="s">
        <v>20</v>
      </c>
      <c r="D7" s="6" t="s">
        <v>29</v>
      </c>
    </row>
    <row r="8" customFormat="false" ht="15" hidden="false" customHeight="false" outlineLevel="0" collapsed="false">
      <c r="A8" s="5" t="s">
        <v>28</v>
      </c>
      <c r="B8" s="5" t="s">
        <v>30</v>
      </c>
      <c r="C8" s="5" t="s">
        <v>26</v>
      </c>
      <c r="D8" s="5" t="s">
        <v>31</v>
      </c>
    </row>
    <row r="9" customFormat="false" ht="15" hidden="false" customHeight="false" outlineLevel="0" collapsed="false">
      <c r="A9" s="6" t="s">
        <v>28</v>
      </c>
      <c r="B9" s="6" t="s">
        <v>32</v>
      </c>
      <c r="C9" s="6" t="s">
        <v>33</v>
      </c>
      <c r="D9" s="6" t="s">
        <v>34</v>
      </c>
    </row>
    <row r="10" customFormat="false" ht="15" hidden="false" customHeight="false" outlineLevel="0" collapsed="false">
      <c r="A10" s="5" t="s">
        <v>28</v>
      </c>
      <c r="B10" s="5" t="s">
        <v>35</v>
      </c>
      <c r="C10" s="5" t="s">
        <v>33</v>
      </c>
      <c r="D10" s="5" t="s">
        <v>36</v>
      </c>
    </row>
    <row r="11" customFormat="false" ht="15" hidden="false" customHeight="false" outlineLevel="0" collapsed="false">
      <c r="A11" s="6" t="s">
        <v>28</v>
      </c>
      <c r="B11" s="6" t="s">
        <v>37</v>
      </c>
      <c r="C11" s="6" t="s">
        <v>38</v>
      </c>
      <c r="D11" s="6" t="s">
        <v>39</v>
      </c>
    </row>
    <row r="12" customFormat="false" ht="15" hidden="false" customHeight="false" outlineLevel="0" collapsed="false">
      <c r="A12" s="5" t="s">
        <v>28</v>
      </c>
      <c r="B12" s="5" t="s">
        <v>40</v>
      </c>
      <c r="C12" s="5" t="s">
        <v>23</v>
      </c>
      <c r="D12" s="5" t="s">
        <v>41</v>
      </c>
    </row>
    <row r="13" customFormat="false" ht="15" hidden="false" customHeight="false" outlineLevel="0" collapsed="false">
      <c r="A13" s="6" t="s">
        <v>42</v>
      </c>
      <c r="B13" s="6" t="s">
        <v>19</v>
      </c>
      <c r="C13" s="6" t="s">
        <v>20</v>
      </c>
      <c r="D13" s="6" t="s">
        <v>43</v>
      </c>
    </row>
    <row r="14" customFormat="false" ht="15" hidden="false" customHeight="false" outlineLevel="0" collapsed="false">
      <c r="A14" s="5" t="s">
        <v>42</v>
      </c>
      <c r="B14" s="5" t="s">
        <v>44</v>
      </c>
      <c r="C14" s="5" t="s">
        <v>26</v>
      </c>
      <c r="D14" s="5" t="s">
        <v>45</v>
      </c>
    </row>
    <row r="15" customFormat="false" ht="15" hidden="false" customHeight="false" outlineLevel="0" collapsed="false">
      <c r="A15" s="6" t="s">
        <v>42</v>
      </c>
      <c r="B15" s="6" t="s">
        <v>46</v>
      </c>
      <c r="C15" s="6" t="s">
        <v>33</v>
      </c>
      <c r="D15" s="6" t="s">
        <v>47</v>
      </c>
    </row>
    <row r="16" customFormat="false" ht="15" hidden="false" customHeight="false" outlineLevel="0" collapsed="false">
      <c r="A16" s="5" t="s">
        <v>42</v>
      </c>
      <c r="B16" s="5" t="s">
        <v>48</v>
      </c>
      <c r="C16" s="5" t="s">
        <v>49</v>
      </c>
      <c r="D16" s="5" t="s">
        <v>50</v>
      </c>
    </row>
    <row r="17" customFormat="false" ht="15" hidden="false" customHeight="false" outlineLevel="0" collapsed="false">
      <c r="A17" s="6" t="s">
        <v>42</v>
      </c>
      <c r="B17" s="6" t="s">
        <v>51</v>
      </c>
      <c r="C17" s="6" t="s">
        <v>49</v>
      </c>
      <c r="D17" s="6" t="s">
        <v>50</v>
      </c>
    </row>
    <row r="18" customFormat="false" ht="15" hidden="false" customHeight="false" outlineLevel="0" collapsed="false">
      <c r="A18" s="5" t="s">
        <v>42</v>
      </c>
      <c r="B18" s="5" t="s">
        <v>52</v>
      </c>
      <c r="C18" s="5" t="s">
        <v>49</v>
      </c>
      <c r="D18" s="5" t="s">
        <v>53</v>
      </c>
    </row>
    <row r="19" customFormat="false" ht="15" hidden="false" customHeight="false" outlineLevel="0" collapsed="false">
      <c r="A19" s="6" t="s">
        <v>42</v>
      </c>
      <c r="B19" s="6" t="s">
        <v>54</v>
      </c>
      <c r="C19" s="6" t="s">
        <v>49</v>
      </c>
      <c r="D19" s="6" t="s">
        <v>55</v>
      </c>
    </row>
    <row r="20" customFormat="false" ht="15" hidden="false" customHeight="false" outlineLevel="0" collapsed="false">
      <c r="A20" s="5" t="s">
        <v>42</v>
      </c>
      <c r="B20" s="5" t="s">
        <v>56</v>
      </c>
      <c r="C20" s="5" t="s">
        <v>49</v>
      </c>
      <c r="D20" s="5" t="s">
        <v>57</v>
      </c>
    </row>
    <row r="21" customFormat="false" ht="15" hidden="false" customHeight="false" outlineLevel="0" collapsed="false">
      <c r="A21" s="6" t="s">
        <v>42</v>
      </c>
      <c r="B21" s="6" t="s">
        <v>58</v>
      </c>
      <c r="C21" s="6" t="s">
        <v>49</v>
      </c>
      <c r="D21" s="6" t="s">
        <v>59</v>
      </c>
    </row>
    <row r="22" customFormat="false" ht="15" hidden="false" customHeight="false" outlineLevel="0" collapsed="false">
      <c r="A22" s="5" t="s">
        <v>42</v>
      </c>
      <c r="B22" s="5" t="s">
        <v>60</v>
      </c>
      <c r="C22" s="5" t="s">
        <v>49</v>
      </c>
      <c r="D22" s="5" t="s">
        <v>61</v>
      </c>
    </row>
    <row r="23" customFormat="false" ht="15" hidden="false" customHeight="false" outlineLevel="0" collapsed="false">
      <c r="A23" s="6" t="s">
        <v>42</v>
      </c>
      <c r="B23" s="6" t="s">
        <v>62</v>
      </c>
      <c r="C23" s="6" t="s">
        <v>49</v>
      </c>
      <c r="D23" s="6" t="s">
        <v>63</v>
      </c>
    </row>
    <row r="24" customFormat="false" ht="15" hidden="false" customHeight="false" outlineLevel="0" collapsed="false">
      <c r="A24" s="5" t="s">
        <v>42</v>
      </c>
      <c r="B24" s="5" t="s">
        <v>64</v>
      </c>
      <c r="C24" s="5" t="s">
        <v>49</v>
      </c>
      <c r="D24" s="5" t="s">
        <v>65</v>
      </c>
    </row>
    <row r="25" customFormat="false" ht="15" hidden="false" customHeight="false" outlineLevel="0" collapsed="false">
      <c r="A25" s="6" t="s">
        <v>42</v>
      </c>
      <c r="B25" s="6" t="s">
        <v>66</v>
      </c>
      <c r="C25" s="6" t="s">
        <v>23</v>
      </c>
      <c r="D25" s="6" t="s">
        <v>67</v>
      </c>
    </row>
    <row r="26" customFormat="false" ht="15" hidden="false" customHeight="false" outlineLevel="0" collapsed="false">
      <c r="A26" s="5" t="s">
        <v>68</v>
      </c>
      <c r="B26" s="5" t="s">
        <v>69</v>
      </c>
      <c r="C26" s="5" t="s">
        <v>70</v>
      </c>
      <c r="D26" s="5" t="s">
        <v>71</v>
      </c>
    </row>
    <row r="27" customFormat="false" ht="15" hidden="false" customHeight="false" outlineLevel="0" collapsed="false">
      <c r="A27" s="6" t="s">
        <v>68</v>
      </c>
      <c r="B27" s="6" t="s">
        <v>72</v>
      </c>
      <c r="C27" s="6" t="s">
        <v>49</v>
      </c>
      <c r="D27" s="6" t="s">
        <v>73</v>
      </c>
    </row>
    <row r="28" customFormat="false" ht="23.85" hidden="false" customHeight="false" outlineLevel="0" collapsed="false">
      <c r="A28" s="5" t="s">
        <v>68</v>
      </c>
      <c r="B28" s="5" t="s">
        <v>74</v>
      </c>
      <c r="C28" s="5" t="s">
        <v>49</v>
      </c>
      <c r="D28" s="5" t="s">
        <v>75</v>
      </c>
    </row>
    <row r="29" customFormat="false" ht="15" hidden="false" customHeight="false" outlineLevel="0" collapsed="false">
      <c r="A29" s="6" t="s">
        <v>68</v>
      </c>
      <c r="B29" s="6" t="s">
        <v>76</v>
      </c>
      <c r="C29" s="6" t="s">
        <v>49</v>
      </c>
      <c r="D29" s="6" t="s">
        <v>77</v>
      </c>
    </row>
    <row r="30" customFormat="false" ht="15" hidden="false" customHeight="false" outlineLevel="0" collapsed="false">
      <c r="A30" s="5" t="s">
        <v>68</v>
      </c>
      <c r="B30" s="5" t="s">
        <v>78</v>
      </c>
      <c r="C30" s="5" t="s">
        <v>49</v>
      </c>
      <c r="D30" s="5" t="s">
        <v>79</v>
      </c>
    </row>
    <row r="31" customFormat="false" ht="23.85" hidden="false" customHeight="false" outlineLevel="0" collapsed="false">
      <c r="A31" s="6" t="s">
        <v>68</v>
      </c>
      <c r="B31" s="6" t="s">
        <v>80</v>
      </c>
      <c r="C31" s="6" t="s">
        <v>23</v>
      </c>
      <c r="D31" s="6" t="s">
        <v>81</v>
      </c>
    </row>
    <row r="32" customFormat="false" ht="15" hidden="false" customHeight="false" outlineLevel="0" collapsed="false">
      <c r="A32" s="5" t="s">
        <v>82</v>
      </c>
      <c r="B32" s="5" t="s">
        <v>19</v>
      </c>
      <c r="C32" s="5" t="s">
        <v>20</v>
      </c>
      <c r="D32" s="5" t="s">
        <v>83</v>
      </c>
    </row>
    <row r="33" customFormat="false" ht="15" hidden="false" customHeight="false" outlineLevel="0" collapsed="false">
      <c r="A33" s="6" t="s">
        <v>82</v>
      </c>
      <c r="B33" s="6" t="s">
        <v>44</v>
      </c>
      <c r="C33" s="6" t="s">
        <v>26</v>
      </c>
      <c r="D33" s="6" t="s">
        <v>84</v>
      </c>
    </row>
    <row r="34" customFormat="false" ht="15" hidden="false" customHeight="false" outlineLevel="0" collapsed="false">
      <c r="A34" s="5" t="s">
        <v>82</v>
      </c>
      <c r="B34" s="5" t="s">
        <v>85</v>
      </c>
      <c r="C34" s="5" t="s">
        <v>86</v>
      </c>
      <c r="D34" s="5" t="s">
        <v>87</v>
      </c>
    </row>
    <row r="35" customFormat="false" ht="15" hidden="false" customHeight="false" outlineLevel="0" collapsed="false">
      <c r="A35" s="6" t="s">
        <v>82</v>
      </c>
      <c r="B35" s="6" t="s">
        <v>88</v>
      </c>
      <c r="C35" s="6" t="s">
        <v>89</v>
      </c>
      <c r="D35" s="6" t="s">
        <v>90</v>
      </c>
    </row>
    <row r="36" customFormat="false" ht="15" hidden="false" customHeight="false" outlineLevel="0" collapsed="false">
      <c r="A36" s="5" t="s">
        <v>82</v>
      </c>
      <c r="B36" s="5" t="s">
        <v>91</v>
      </c>
      <c r="C36" s="5" t="s">
        <v>49</v>
      </c>
      <c r="D36" s="5" t="s">
        <v>92</v>
      </c>
    </row>
    <row r="37" customFormat="false" ht="15" hidden="false" customHeight="false" outlineLevel="0" collapsed="false">
      <c r="A37" s="6" t="s">
        <v>82</v>
      </c>
      <c r="B37" s="6" t="s">
        <v>93</v>
      </c>
      <c r="C37" s="6" t="s">
        <v>94</v>
      </c>
      <c r="D37" s="6" t="s">
        <v>95</v>
      </c>
    </row>
    <row r="38" customFormat="false" ht="15" hidden="false" customHeight="false" outlineLevel="0" collapsed="false">
      <c r="A38" s="5" t="s">
        <v>82</v>
      </c>
      <c r="B38" s="5" t="s">
        <v>96</v>
      </c>
      <c r="C38" s="5" t="s">
        <v>23</v>
      </c>
      <c r="D38" s="5" t="s">
        <v>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28"/>
  </cols>
  <sheetData>
    <row r="1" customFormat="false" ht="17.35" hidden="false" customHeight="false" outlineLevel="0" collapsed="false">
      <c r="A1" s="1" t="s">
        <v>98</v>
      </c>
    </row>
    <row r="3" customFormat="false" ht="27.75" hidden="false" customHeight="true" outlineLevel="0" collapsed="false">
      <c r="A3" s="4" t="s">
        <v>19</v>
      </c>
      <c r="B3" s="4" t="s">
        <v>22</v>
      </c>
      <c r="C3" s="4" t="s">
        <v>25</v>
      </c>
      <c r="D3" s="4" t="s">
        <v>99</v>
      </c>
    </row>
    <row r="4" customFormat="false" ht="15" hidden="false" customHeight="false" outlineLevel="0" collapsed="false">
      <c r="A4" s="7" t="n">
        <v>1</v>
      </c>
      <c r="B4" s="7" t="s">
        <v>100</v>
      </c>
      <c r="C4" s="7" t="n">
        <v>101</v>
      </c>
      <c r="D4" s="7" t="s">
        <v>101</v>
      </c>
    </row>
    <row r="5" customFormat="false" ht="15" hidden="false" customHeight="false" outlineLevel="0" collapsed="false">
      <c r="A5" s="7" t="n">
        <v>2</v>
      </c>
      <c r="B5" s="7" t="s">
        <v>102</v>
      </c>
      <c r="C5" s="7" t="n">
        <v>101</v>
      </c>
      <c r="D5" s="7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5" min="4" style="0" width="16"/>
    <col collapsed="false" customWidth="true" hidden="false" outlineLevel="0" max="6" min="6" style="0" width="26"/>
    <col collapsed="false" customWidth="true" hidden="false" outlineLevel="0" max="7" min="7" style="0" width="14"/>
  </cols>
  <sheetData>
    <row r="1" customFormat="false" ht="17.35" hidden="false" customHeight="false" outlineLevel="0" collapsed="false">
      <c r="A1" s="1" t="s">
        <v>103</v>
      </c>
    </row>
    <row r="3" customFormat="false" ht="27.75" hidden="false" customHeight="true" outlineLevel="0" collapsed="false">
      <c r="A3" s="4" t="s">
        <v>19</v>
      </c>
      <c r="B3" s="4" t="s">
        <v>30</v>
      </c>
      <c r="C3" s="4" t="s">
        <v>104</v>
      </c>
      <c r="D3" s="4" t="s">
        <v>32</v>
      </c>
      <c r="E3" s="4" t="s">
        <v>35</v>
      </c>
      <c r="F3" s="4" t="s">
        <v>37</v>
      </c>
      <c r="G3" s="4" t="s">
        <v>40</v>
      </c>
    </row>
    <row r="4" customFormat="false" ht="15" hidden="false" customHeight="false" outlineLevel="0" collapsed="false">
      <c r="A4" s="7" t="n">
        <v>1</v>
      </c>
      <c r="B4" s="7" t="n">
        <v>1</v>
      </c>
      <c r="C4" s="8" t="str">
        <f aca="false">INDEX(Parcelles!$B$4:$B$5,MATCH(B4,Parcelles!$A$4:$A$5,0))</f>
        <v>Champ Nord</v>
      </c>
      <c r="D4" s="7" t="s">
        <v>105</v>
      </c>
      <c r="E4" s="7" t="s">
        <v>106</v>
      </c>
      <c r="F4" s="7" t="s">
        <v>107</v>
      </c>
      <c r="G4" s="7" t="s">
        <v>108</v>
      </c>
    </row>
    <row r="5" customFormat="false" ht="15" hidden="false" customHeight="false" outlineLevel="0" collapsed="false">
      <c r="A5" s="7" t="n">
        <v>2</v>
      </c>
      <c r="B5" s="7" t="n">
        <v>2</v>
      </c>
      <c r="C5" s="8" t="str">
        <f aca="false">INDEX(Parcelles!$B$4:$B$5,MATCH(B5,Parcelles!$A$4:$A$5,0))</f>
        <v>Champ Sud (bas-fond)</v>
      </c>
      <c r="D5" s="7" t="s">
        <v>109</v>
      </c>
      <c r="E5" s="7" t="s">
        <v>110</v>
      </c>
      <c r="F5" s="7" t="s">
        <v>111</v>
      </c>
      <c r="G5" s="7" t="s">
        <v>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17"/>
    <col collapsed="false" customWidth="true" hidden="false" outlineLevel="0" max="5" min="4" style="0" width="11"/>
    <col collapsed="false" customWidth="true" hidden="false" outlineLevel="0" max="6" min="6" style="0" width="13"/>
    <col collapsed="false" customWidth="true" hidden="false" outlineLevel="0" max="7" min="7" style="0" width="7"/>
    <col collapsed="false" customWidth="true" hidden="false" outlineLevel="0" max="9" min="8" style="0" width="11"/>
    <col collapsed="false" customWidth="true" hidden="false" outlineLevel="0" max="12" min="10" style="0" width="13"/>
    <col collapsed="false" customWidth="true" hidden="false" outlineLevel="0" max="13" min="13" style="0" width="9"/>
  </cols>
  <sheetData>
    <row r="1" customFormat="false" ht="17.35" hidden="false" customHeight="false" outlineLevel="0" collapsed="false">
      <c r="A1" s="1" t="s">
        <v>112</v>
      </c>
    </row>
    <row r="3" customFormat="false" ht="27.75" hidden="false" customHeight="true" outlineLevel="0" collapsed="false">
      <c r="A3" s="4" t="s">
        <v>19</v>
      </c>
      <c r="B3" s="4" t="s">
        <v>44</v>
      </c>
      <c r="C3" s="4" t="s">
        <v>46</v>
      </c>
      <c r="D3" s="4" t="s">
        <v>48</v>
      </c>
      <c r="E3" s="4" t="s">
        <v>51</v>
      </c>
      <c r="F3" s="4" t="s">
        <v>52</v>
      </c>
      <c r="G3" s="4" t="s">
        <v>54</v>
      </c>
      <c r="H3" s="4" t="s">
        <v>56</v>
      </c>
      <c r="I3" s="4" t="s">
        <v>58</v>
      </c>
      <c r="J3" s="4" t="s">
        <v>60</v>
      </c>
      <c r="K3" s="4" t="s">
        <v>62</v>
      </c>
      <c r="L3" s="4" t="s">
        <v>64</v>
      </c>
      <c r="M3" s="4" t="s">
        <v>66</v>
      </c>
    </row>
    <row r="4" customFormat="false" ht="15" hidden="false" customHeight="false" outlineLevel="0" collapsed="false">
      <c r="A4" s="7" t="n">
        <v>1</v>
      </c>
      <c r="B4" s="7" t="n">
        <v>1</v>
      </c>
      <c r="C4" s="7" t="s">
        <v>105</v>
      </c>
      <c r="D4" s="9" t="n">
        <v>6.90355770719383</v>
      </c>
      <c r="E4" s="9" t="n">
        <v>-5.32389995697911</v>
      </c>
      <c r="F4" s="7" t="n">
        <v>22.5</v>
      </c>
      <c r="G4" s="7" t="n">
        <v>5.75</v>
      </c>
      <c r="H4" s="7" t="n">
        <v>1105</v>
      </c>
      <c r="I4" s="7" t="n">
        <v>20</v>
      </c>
      <c r="J4" s="7" t="n">
        <v>14</v>
      </c>
      <c r="K4" s="7" t="n">
        <v>62</v>
      </c>
      <c r="L4" s="7" t="n">
        <v>26.9</v>
      </c>
      <c r="M4" s="7" t="s">
        <v>113</v>
      </c>
    </row>
    <row r="5" customFormat="false" ht="15" hidden="false" customHeight="false" outlineLevel="0" collapsed="false">
      <c r="A5" s="7" t="n">
        <v>2</v>
      </c>
      <c r="B5" s="7" t="n">
        <v>1</v>
      </c>
      <c r="C5" s="7" t="s">
        <v>114</v>
      </c>
      <c r="D5" s="9" t="n">
        <v>6.90111918887775</v>
      </c>
      <c r="E5" s="9" t="n">
        <v>-5.32312544810079</v>
      </c>
      <c r="F5" s="7" t="n">
        <v>24.5</v>
      </c>
      <c r="G5" s="7" t="n">
        <v>5.53</v>
      </c>
      <c r="H5" s="7" t="n">
        <v>809</v>
      </c>
      <c r="I5" s="7" t="n">
        <v>20</v>
      </c>
      <c r="J5" s="7" t="n">
        <v>12</v>
      </c>
      <c r="K5" s="7" t="n">
        <v>66</v>
      </c>
      <c r="L5" s="7" t="n">
        <v>27.3</v>
      </c>
      <c r="M5" s="7" t="s">
        <v>113</v>
      </c>
    </row>
    <row r="6" customFormat="false" ht="15" hidden="false" customHeight="false" outlineLevel="0" collapsed="false">
      <c r="A6" s="7" t="n">
        <v>3</v>
      </c>
      <c r="B6" s="7" t="n">
        <v>1</v>
      </c>
      <c r="C6" s="7" t="s">
        <v>115</v>
      </c>
      <c r="D6" s="9" t="n">
        <v>6.90423772182671</v>
      </c>
      <c r="E6" s="9" t="n">
        <v>-5.32397400496129</v>
      </c>
      <c r="F6" s="7" t="n">
        <v>27.3</v>
      </c>
      <c r="G6" s="7" t="n">
        <v>6.27</v>
      </c>
      <c r="H6" s="7" t="n">
        <v>887</v>
      </c>
      <c r="I6" s="7" t="n">
        <v>15</v>
      </c>
      <c r="J6" s="7" t="n">
        <v>15</v>
      </c>
      <c r="K6" s="7" t="n">
        <v>68</v>
      </c>
      <c r="L6" s="7" t="n">
        <v>26.2</v>
      </c>
      <c r="M6" s="7" t="s">
        <v>113</v>
      </c>
    </row>
    <row r="7" customFormat="false" ht="15" hidden="false" customHeight="false" outlineLevel="0" collapsed="false">
      <c r="A7" s="7" t="n">
        <v>4</v>
      </c>
      <c r="B7" s="7" t="n">
        <v>1</v>
      </c>
      <c r="C7" s="7" t="s">
        <v>116</v>
      </c>
      <c r="D7" s="9" t="n">
        <v>6.90138686550733</v>
      </c>
      <c r="E7" s="9" t="n">
        <v>-5.32061002253461</v>
      </c>
      <c r="F7" s="7" t="n">
        <v>25.4</v>
      </c>
      <c r="G7" s="7" t="n">
        <v>6.39</v>
      </c>
      <c r="H7" s="7" t="n">
        <v>1101</v>
      </c>
      <c r="I7" s="7" t="n">
        <v>19</v>
      </c>
      <c r="J7" s="7" t="n">
        <v>15</v>
      </c>
      <c r="K7" s="7" t="n">
        <v>69</v>
      </c>
      <c r="L7" s="7" t="n">
        <v>27.2</v>
      </c>
      <c r="M7" s="7" t="s">
        <v>113</v>
      </c>
    </row>
    <row r="8" customFormat="false" ht="15" hidden="false" customHeight="false" outlineLevel="0" collapsed="false">
      <c r="A8" s="7" t="n">
        <v>5</v>
      </c>
      <c r="B8" s="7" t="n">
        <v>1</v>
      </c>
      <c r="C8" s="7" t="s">
        <v>117</v>
      </c>
      <c r="D8" s="9" t="n">
        <v>6.90431761865701</v>
      </c>
      <c r="E8" s="9" t="n">
        <v>-5.32152592099054</v>
      </c>
      <c r="F8" s="7" t="n">
        <v>27.8</v>
      </c>
      <c r="G8" s="7" t="n">
        <v>6.14</v>
      </c>
      <c r="H8" s="7" t="n">
        <v>1088</v>
      </c>
      <c r="I8" s="7" t="n">
        <v>14</v>
      </c>
      <c r="J8" s="7" t="n">
        <v>10</v>
      </c>
      <c r="K8" s="7" t="n">
        <v>67</v>
      </c>
      <c r="L8" s="7" t="n">
        <v>26.2</v>
      </c>
      <c r="M8" s="7" t="s">
        <v>113</v>
      </c>
    </row>
    <row r="9" customFormat="false" ht="15" hidden="false" customHeight="false" outlineLevel="0" collapsed="false">
      <c r="A9" s="7" t="n">
        <v>6</v>
      </c>
      <c r="B9" s="7" t="n">
        <v>1</v>
      </c>
      <c r="C9" s="7" t="s">
        <v>118</v>
      </c>
      <c r="D9" s="9" t="n">
        <v>6.90193116354544</v>
      </c>
      <c r="E9" s="9" t="n">
        <v>-5.32359599428236</v>
      </c>
      <c r="F9" s="7" t="n">
        <v>22.5</v>
      </c>
      <c r="G9" s="7" t="n">
        <v>6.2</v>
      </c>
      <c r="H9" s="7" t="n">
        <v>901</v>
      </c>
      <c r="I9" s="7" t="n">
        <v>17</v>
      </c>
      <c r="J9" s="7" t="n">
        <v>10</v>
      </c>
      <c r="K9" s="7" t="n">
        <v>67</v>
      </c>
      <c r="L9" s="7" t="n">
        <v>28.1</v>
      </c>
      <c r="M9" s="7" t="s">
        <v>113</v>
      </c>
    </row>
    <row r="10" customFormat="false" ht="15" hidden="false" customHeight="false" outlineLevel="0" collapsed="false">
      <c r="A10" s="7" t="n">
        <v>7</v>
      </c>
      <c r="B10" s="7" t="n">
        <v>2</v>
      </c>
      <c r="C10" s="7" t="s">
        <v>109</v>
      </c>
      <c r="D10" s="9" t="n">
        <v>6.91259214154099</v>
      </c>
      <c r="E10" s="9" t="n">
        <v>-5.33056347597733</v>
      </c>
      <c r="F10" s="7" t="n">
        <v>36.5</v>
      </c>
      <c r="G10" s="7" t="n">
        <v>5.88</v>
      </c>
      <c r="H10" s="7" t="n">
        <v>1340</v>
      </c>
      <c r="I10" s="7" t="n">
        <v>19</v>
      </c>
      <c r="J10" s="7" t="n">
        <v>13</v>
      </c>
      <c r="K10" s="7" t="n">
        <v>101</v>
      </c>
      <c r="L10" s="7" t="n">
        <v>26.2</v>
      </c>
      <c r="M10" s="7" t="s">
        <v>119</v>
      </c>
    </row>
    <row r="11" customFormat="false" ht="15" hidden="false" customHeight="false" outlineLevel="0" collapsed="false">
      <c r="A11" s="7" t="n">
        <v>8</v>
      </c>
      <c r="B11" s="7" t="n">
        <v>2</v>
      </c>
      <c r="C11" s="7" t="s">
        <v>120</v>
      </c>
      <c r="D11" s="9" t="n">
        <v>6.91273845700396</v>
      </c>
      <c r="E11" s="9" t="n">
        <v>-5.32962859231924</v>
      </c>
      <c r="F11" s="7" t="n">
        <v>42</v>
      </c>
      <c r="G11" s="7" t="n">
        <v>5.48</v>
      </c>
      <c r="H11" s="7" t="n">
        <v>1268</v>
      </c>
      <c r="I11" s="7" t="n">
        <v>19</v>
      </c>
      <c r="J11" s="7" t="n">
        <v>9</v>
      </c>
      <c r="K11" s="7" t="n">
        <v>90</v>
      </c>
      <c r="L11" s="7" t="n">
        <v>26.9</v>
      </c>
      <c r="M11" s="7" t="s">
        <v>113</v>
      </c>
    </row>
    <row r="12" customFormat="false" ht="15" hidden="false" customHeight="false" outlineLevel="0" collapsed="false">
      <c r="A12" s="7" t="n">
        <v>9</v>
      </c>
      <c r="B12" s="7" t="n">
        <v>2</v>
      </c>
      <c r="C12" s="7" t="s">
        <v>121</v>
      </c>
      <c r="D12" s="9" t="n">
        <v>6.91350547050589</v>
      </c>
      <c r="E12" s="9" t="n">
        <v>-5.33174128847681</v>
      </c>
      <c r="F12" s="7" t="n">
        <v>40.9</v>
      </c>
      <c r="G12" s="7" t="n">
        <v>5.62</v>
      </c>
      <c r="H12" s="7" t="n">
        <v>1753</v>
      </c>
      <c r="I12" s="7" t="n">
        <v>20</v>
      </c>
      <c r="J12" s="7" t="n">
        <v>9</v>
      </c>
      <c r="K12" s="7" t="n">
        <v>91</v>
      </c>
      <c r="L12" s="7" t="n">
        <v>26.2</v>
      </c>
      <c r="M12" s="7" t="s">
        <v>113</v>
      </c>
    </row>
    <row r="13" customFormat="false" ht="15" hidden="false" customHeight="false" outlineLevel="0" collapsed="false">
      <c r="A13" s="7" t="n">
        <v>10</v>
      </c>
      <c r="B13" s="7" t="n">
        <v>2</v>
      </c>
      <c r="C13" s="7" t="s">
        <v>122</v>
      </c>
      <c r="D13" s="9" t="n">
        <v>6.91105096643409</v>
      </c>
      <c r="E13" s="9" t="n">
        <v>-5.33066165603911</v>
      </c>
      <c r="F13" s="7" t="n">
        <v>43.1</v>
      </c>
      <c r="G13" s="7" t="n">
        <v>5.62</v>
      </c>
      <c r="H13" s="7" t="n">
        <v>1371</v>
      </c>
      <c r="I13" s="7" t="n">
        <v>25</v>
      </c>
      <c r="J13" s="7" t="n">
        <v>10</v>
      </c>
      <c r="K13" s="7" t="n">
        <v>87</v>
      </c>
      <c r="L13" s="7" t="n">
        <v>25.3</v>
      </c>
      <c r="M13" s="7" t="s">
        <v>113</v>
      </c>
    </row>
    <row r="14" customFormat="false" ht="15" hidden="false" customHeight="false" outlineLevel="0" collapsed="false">
      <c r="A14" s="7" t="n">
        <v>11</v>
      </c>
      <c r="B14" s="7" t="n">
        <v>2</v>
      </c>
      <c r="C14" s="7" t="s">
        <v>123</v>
      </c>
      <c r="D14" s="9" t="n">
        <v>6.9104385965214</v>
      </c>
      <c r="E14" s="9" t="n">
        <v>-5.33049021583319</v>
      </c>
      <c r="F14" s="7" t="n">
        <v>42.1</v>
      </c>
      <c r="G14" s="7" t="n">
        <v>5.64</v>
      </c>
      <c r="H14" s="7" t="n">
        <v>1285</v>
      </c>
      <c r="I14" s="7" t="n">
        <v>19</v>
      </c>
      <c r="J14" s="7" t="n">
        <v>13</v>
      </c>
      <c r="K14" s="7" t="n">
        <v>98</v>
      </c>
      <c r="L14" s="7" t="n">
        <v>26.9</v>
      </c>
      <c r="M14" s="7" t="s">
        <v>113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9"/>
    <col collapsed="false" customWidth="true" hidden="false" outlineLevel="0" max="5" min="4" style="0" width="16"/>
    <col collapsed="false" customWidth="true" hidden="false" outlineLevel="0" max="6" min="6" style="0" width="14"/>
    <col collapsed="false" customWidth="true" hidden="false" outlineLevel="0" max="8" min="7" style="0" width="11"/>
    <col collapsed="false" customWidth="true" hidden="false" outlineLevel="0" max="9" min="9" style="0" width="38"/>
  </cols>
  <sheetData>
    <row r="1" customFormat="false" ht="17.35" hidden="false" customHeight="false" outlineLevel="0" collapsed="false">
      <c r="A1" s="1" t="s">
        <v>124</v>
      </c>
    </row>
    <row r="2" customFormat="false" ht="15" hidden="false" customHeight="false" outlineLevel="0" collapsed="false">
      <c r="A2" s="2" t="s">
        <v>125</v>
      </c>
    </row>
    <row r="4" customFormat="false" ht="27.75" hidden="false" customHeight="true" outlineLevel="0" collapsed="false">
      <c r="A4" s="4" t="s">
        <v>69</v>
      </c>
      <c r="B4" s="4" t="s">
        <v>126</v>
      </c>
      <c r="C4" s="4" t="s">
        <v>127</v>
      </c>
      <c r="D4" s="4" t="s">
        <v>128</v>
      </c>
      <c r="E4" s="4" t="s">
        <v>129</v>
      </c>
      <c r="F4" s="4" t="s">
        <v>130</v>
      </c>
      <c r="G4" s="4" t="s">
        <v>131</v>
      </c>
      <c r="H4" s="4" t="s">
        <v>132</v>
      </c>
      <c r="I4" s="4" t="s">
        <v>80</v>
      </c>
    </row>
    <row r="5" customFormat="false" ht="15" hidden="false" customHeight="false" outlineLevel="0" collapsed="false">
      <c r="A5" s="10" t="s">
        <v>133</v>
      </c>
      <c r="B5" s="10" t="n">
        <v>5.5</v>
      </c>
      <c r="C5" s="10" t="n">
        <v>7</v>
      </c>
      <c r="D5" s="10" t="n">
        <v>20</v>
      </c>
      <c r="E5" s="10" t="n">
        <v>35</v>
      </c>
      <c r="F5" s="10" t="n">
        <v>2000</v>
      </c>
      <c r="G5" s="10" t="n">
        <v>25</v>
      </c>
      <c r="H5" s="10" t="n">
        <v>29</v>
      </c>
      <c r="I5" s="10" t="s">
        <v>134</v>
      </c>
    </row>
    <row r="6" customFormat="false" ht="15" hidden="false" customHeight="false" outlineLevel="0" collapsed="false">
      <c r="A6" s="10" t="s">
        <v>135</v>
      </c>
      <c r="B6" s="10" t="n">
        <v>5.5</v>
      </c>
      <c r="C6" s="10" t="n">
        <v>6.5</v>
      </c>
      <c r="D6" s="10" t="n">
        <v>25</v>
      </c>
      <c r="E6" s="10" t="n">
        <v>40</v>
      </c>
      <c r="F6" s="10" t="n">
        <v>1500</v>
      </c>
      <c r="G6" s="10" t="n">
        <v>25</v>
      </c>
      <c r="H6" s="10" t="n">
        <v>30</v>
      </c>
      <c r="I6" s="10" t="s">
        <v>134</v>
      </c>
    </row>
    <row r="7" customFormat="false" ht="15" hidden="false" customHeight="false" outlineLevel="0" collapsed="false">
      <c r="A7" s="10" t="s">
        <v>136</v>
      </c>
      <c r="B7" s="10" t="n">
        <v>5.5</v>
      </c>
      <c r="C7" s="10" t="n">
        <v>6.5</v>
      </c>
      <c r="D7" s="10" t="n">
        <v>30</v>
      </c>
      <c r="E7" s="10" t="n">
        <v>45</v>
      </c>
      <c r="F7" s="10" t="n">
        <v>3000</v>
      </c>
      <c r="G7" s="10" t="n">
        <v>25</v>
      </c>
      <c r="H7" s="10" t="n">
        <v>30</v>
      </c>
      <c r="I7" s="10" t="s">
        <v>134</v>
      </c>
    </row>
    <row r="8" customFormat="false" ht="15" hidden="false" customHeight="false" outlineLevel="0" collapsed="false">
      <c r="A8" s="10" t="s">
        <v>137</v>
      </c>
      <c r="B8" s="10" t="n">
        <v>5.8</v>
      </c>
      <c r="C8" s="10" t="n">
        <v>7</v>
      </c>
      <c r="D8" s="10" t="n">
        <v>20</v>
      </c>
      <c r="E8" s="10" t="n">
        <v>30</v>
      </c>
      <c r="F8" s="10" t="n">
        <v>1700</v>
      </c>
      <c r="G8" s="10" t="n">
        <v>20</v>
      </c>
      <c r="H8" s="10" t="n">
        <v>30</v>
      </c>
      <c r="I8" s="10" t="s">
        <v>134</v>
      </c>
    </row>
    <row r="9" customFormat="false" ht="15" hidden="false" customHeight="false" outlineLevel="0" collapsed="false">
      <c r="A9" s="10" t="s">
        <v>138</v>
      </c>
      <c r="B9" s="10" t="n">
        <v>5.5</v>
      </c>
      <c r="C9" s="10" t="n">
        <v>7</v>
      </c>
      <c r="D9" s="10" t="n">
        <v>30</v>
      </c>
      <c r="E9" s="10" t="n">
        <v>45</v>
      </c>
      <c r="F9" s="10" t="n">
        <v>1500</v>
      </c>
      <c r="G9" s="10" t="n">
        <v>25</v>
      </c>
      <c r="H9" s="10" t="n">
        <v>30</v>
      </c>
      <c r="I9" s="10" t="s">
        <v>134</v>
      </c>
    </row>
    <row r="10" customFormat="false" ht="15" hidden="false" customHeight="false" outlineLevel="0" collapsed="false">
      <c r="A10" s="10" t="s">
        <v>139</v>
      </c>
      <c r="B10" s="10" t="n">
        <v>6</v>
      </c>
      <c r="C10" s="10" t="n">
        <v>6.8</v>
      </c>
      <c r="D10" s="10" t="n">
        <v>20</v>
      </c>
      <c r="E10" s="10" t="n">
        <v>30</v>
      </c>
      <c r="F10" s="10" t="n">
        <v>2500</v>
      </c>
      <c r="G10" s="10" t="n">
        <v>18</v>
      </c>
      <c r="H10" s="10" t="n">
        <v>27</v>
      </c>
      <c r="I10" s="10" t="s">
        <v>140</v>
      </c>
    </row>
    <row r="12" customFormat="false" ht="15" hidden="false" customHeight="false" outlineLevel="0" collapsed="false">
      <c r="A12" s="11" t="s">
        <v>141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18"/>
    <col collapsed="false" customWidth="true" hidden="false" outlineLevel="0" max="4" min="4" style="0" width="17"/>
    <col collapsed="false" customWidth="true" hidden="false" outlineLevel="0" max="5" min="5" style="0" width="9"/>
    <col collapsed="false" customWidth="true" hidden="false" outlineLevel="0" max="7" min="6" style="0" width="13"/>
    <col collapsed="false" customWidth="true" hidden="false" outlineLevel="0" max="8" min="8" style="0" width="9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3" min="12" style="0" width="9"/>
    <col collapsed="false" customWidth="true" hidden="false" outlineLevel="0" max="14" min="14" style="0" width="11"/>
    <col collapsed="false" customWidth="true" hidden="false" outlineLevel="0" max="15" min="15" style="0" width="24"/>
    <col collapsed="false" customWidth="true" hidden="false" outlineLevel="0" max="16" min="16" style="0" width="60"/>
  </cols>
  <sheetData>
    <row r="1" customFormat="false" ht="17.35" hidden="false" customHeight="false" outlineLevel="0" collapsed="false">
      <c r="A1" s="1" t="s">
        <v>142</v>
      </c>
    </row>
    <row r="2" customFormat="false" ht="15" hidden="false" customHeight="false" outlineLevel="0" collapsed="false">
      <c r="A2" s="2" t="s">
        <v>143</v>
      </c>
    </row>
    <row r="4" customFormat="false" ht="27.75" hidden="false" customHeight="true" outlineLevel="0" collapsed="false">
      <c r="A4" s="4" t="s">
        <v>19</v>
      </c>
      <c r="B4" s="4" t="s">
        <v>44</v>
      </c>
      <c r="C4" s="4" t="s">
        <v>104</v>
      </c>
      <c r="D4" s="4" t="s">
        <v>85</v>
      </c>
      <c r="E4" s="4" t="s">
        <v>144</v>
      </c>
      <c r="F4" s="4" t="s">
        <v>145</v>
      </c>
      <c r="G4" s="4" t="s">
        <v>91</v>
      </c>
      <c r="H4" s="4" t="s">
        <v>146</v>
      </c>
      <c r="I4" s="4" t="s">
        <v>147</v>
      </c>
      <c r="J4" s="4" t="s">
        <v>148</v>
      </c>
      <c r="K4" s="4" t="s">
        <v>149</v>
      </c>
      <c r="L4" s="4" t="s">
        <v>150</v>
      </c>
      <c r="M4" s="4" t="s">
        <v>151</v>
      </c>
      <c r="N4" s="4" t="s">
        <v>152</v>
      </c>
      <c r="O4" s="4" t="s">
        <v>153</v>
      </c>
      <c r="P4" s="4" t="s">
        <v>96</v>
      </c>
    </row>
    <row r="5" customFormat="false" ht="15" hidden="false" customHeight="false" outlineLevel="0" collapsed="false">
      <c r="A5" s="12" t="n">
        <v>1</v>
      </c>
      <c r="B5" s="12" t="n">
        <v>1</v>
      </c>
      <c r="C5" s="13" t="str">
        <f aca="false">INDEX(Campagnes!$C$4:$C$5,MATCH(B5,Campagnes!$A$4:$A$5,0))</f>
        <v>Champ Nord</v>
      </c>
      <c r="D5" s="12" t="s">
        <v>135</v>
      </c>
      <c r="E5" s="13" t="n">
        <f aca="false">COUNTIF(Mesures!$B$4:$B$14,B5)</f>
        <v>6</v>
      </c>
      <c r="F5" s="14" t="n">
        <f aca="false">AVERAGEIF(Mesures!$B$4:$B$14,B5,Mesures!$F$4:$F$14)</f>
        <v>25</v>
      </c>
      <c r="G5" s="15" t="n">
        <f aca="false">SQRT(SUMPRODUCT((Mesures!$B$4:$B$14=B5)*(Mesures!$F$4:$F$14-F5)^2)/(E5-1))</f>
        <v>2.28210429209535</v>
      </c>
      <c r="H5" s="15" t="n">
        <f aca="false">AVERAGEIF(Mesures!$B$4:$B$14,B5,Mesures!$G$4:$G$14)</f>
        <v>6.04666666666667</v>
      </c>
      <c r="I5" s="16" t="n">
        <f aca="false">AVERAGEIF(Mesures!$B$4:$B$14,B5,Mesures!$H$4:$H$14)</f>
        <v>981.833333333333</v>
      </c>
      <c r="J5" s="14" t="n">
        <f aca="false">AVERAGEIF(Mesures!$B$4:$B$14,B5,Mesures!$L$4:$L$14)</f>
        <v>26.9833333333333</v>
      </c>
      <c r="K5" s="14" t="n">
        <f aca="false">IF(AND(F5&gt;=INDEX(Cultures_reference!$D$5:$D$10,MATCH($D5,Cultures_reference!$A$5:$A$10,0)),F5&lt;=INDEX(Cultures_reference!$E$5:$E$10,MATCH($D5,Cultures_reference!$A$5:$A$10,0))),1,IF(OR(F5&lt;INDEX(Cultures_reference!$D$5:$D$10,MATCH($D5,Cultures_reference!$A$5:$A$10,0))-0.15*(INDEX(Cultures_reference!$E$5:$E$10,MATCH($D5,Cultures_reference!$A$5:$A$10,0))-INDEX(Cultures_reference!$D$5:$D$10,MATCH($D5,Cultures_reference!$A$5:$A$10,0))),F5&gt;INDEX(Cultures_reference!$E$5:$E$10,MATCH($D5,Cultures_reference!$A$5:$A$10,0))+0.15*(INDEX(Cultures_reference!$E$5:$E$10,MATCH($D5,Cultures_reference!$A$5:$A$10,0))-INDEX(Cultures_reference!$D$5:$D$10,MATCH($D5,Cultures_reference!$A$5:$A$10,0)))),0,0.5))</f>
        <v>1</v>
      </c>
      <c r="L5" s="14" t="n">
        <f aca="false">IF(AND(H5&gt;=INDEX(Cultures_reference!$B$5:$B$10,MATCH($D5,Cultures_reference!$A$5:$A$10,0)),H5&lt;=INDEX(Cultures_reference!$C$5:$C$10,MATCH($D5,Cultures_reference!$A$5:$A$10,0))),1,IF(OR(H5&lt;INDEX(Cultures_reference!$B$5:$B$10,MATCH($D5,Cultures_reference!$A$5:$A$10,0))-0.15*(INDEX(Cultures_reference!$C$5:$C$10,MATCH($D5,Cultures_reference!$A$5:$A$10,0))-INDEX(Cultures_reference!$B$5:$B$10,MATCH($D5,Cultures_reference!$A$5:$A$10,0))),H5&gt;INDEX(Cultures_reference!$C$5:$C$10,MATCH($D5,Cultures_reference!$A$5:$A$10,0))+0.15*(INDEX(Cultures_reference!$C$5:$C$10,MATCH($D5,Cultures_reference!$A$5:$A$10,0))-INDEX(Cultures_reference!$B$5:$B$10,MATCH($D5,Cultures_reference!$A$5:$A$10,0)))),0,0.5))</f>
        <v>1</v>
      </c>
      <c r="M5" s="14" t="n">
        <f aca="false">IF(I5&lt;=INDEX(Cultures_reference!$F$5:$F$10,MATCH($D5,Cultures_reference!$A$5:$A$10,0)),1,IF(I5&lt;=1.15*INDEX(Cultures_reference!$F$5:$F$10,MATCH($D5,Cultures_reference!$A$5:$A$10,0)),0.5,0))</f>
        <v>1</v>
      </c>
      <c r="N5" s="15" t="n">
        <f aca="false">AVERAGE(K5:M5)</f>
        <v>1</v>
      </c>
      <c r="O5" s="13" t="str">
        <f aca="false">IF(N5&gt;=0.8,"Adapté",IF(N5&gt;=0.5,"Possible avec corrections","Déconseillé"))</f>
        <v>Adapté</v>
      </c>
      <c r="P5" s="13" t="str">
        <f aca="false">TRIM(IF(K5&lt;1,IF(F5&lt;INDEX(Cultures_reference!$D$5:$D$10,MATCH($D5,Cultures_reference!$A$5:$A$10,0)),"Irriguer (sol trop sec); ","Drainer (sol trop humide); "),"")&amp;IF(L5&lt;1,IF(H5&lt;INDEX(Cultures_reference!$B$5:$B$10,MATCH($D5,Cultures_reference!$A$5:$A$10,0)),"Chauler (pH trop acide); ","Amender (pH trop basique); "),"")&amp;IF(M5&lt;1,"Lessiver / réduire la salinité (EC élevée); ","")&amp;IF(N5&gt;=0.8,"Sol adapté, aucun apport majeur nécessaire.",""))</f>
        <v>Sol adapté, aucun apport majeur nécessaire.</v>
      </c>
    </row>
    <row r="6" customFormat="false" ht="15" hidden="false" customHeight="false" outlineLevel="0" collapsed="false">
      <c r="A6" s="12" t="n">
        <v>2</v>
      </c>
      <c r="B6" s="12" t="n">
        <v>1</v>
      </c>
      <c r="C6" s="13" t="str">
        <f aca="false">INDEX(Campagnes!$C$4:$C$5,MATCH(B6,Campagnes!$A$4:$A$5,0))</f>
        <v>Champ Nord</v>
      </c>
      <c r="D6" s="12" t="s">
        <v>137</v>
      </c>
      <c r="E6" s="13" t="n">
        <f aca="false">COUNTIF(Mesures!$B$4:$B$14,B6)</f>
        <v>6</v>
      </c>
      <c r="F6" s="17" t="n">
        <f aca="false">AVERAGEIF(Mesures!$B$4:$B$14,B6,Mesures!$F$4:$F$14)</f>
        <v>25</v>
      </c>
      <c r="G6" s="18" t="n">
        <f aca="false">SQRT(SUMPRODUCT((Mesures!$B$4:$B$14=B6)*(Mesures!$F$4:$F$14-F6)^2)/(E6-1))</f>
        <v>2.28210429209535</v>
      </c>
      <c r="H6" s="18" t="n">
        <f aca="false">AVERAGEIF(Mesures!$B$4:$B$14,B6,Mesures!$G$4:$G$14)</f>
        <v>6.04666666666667</v>
      </c>
      <c r="I6" s="19" t="n">
        <f aca="false">AVERAGEIF(Mesures!$B$4:$B$14,B6,Mesures!$H$4:$H$14)</f>
        <v>981.833333333333</v>
      </c>
      <c r="J6" s="17" t="n">
        <f aca="false">AVERAGEIF(Mesures!$B$4:$B$14,B6,Mesures!$L$4:$L$14)</f>
        <v>26.9833333333333</v>
      </c>
      <c r="K6" s="17" t="n">
        <f aca="false">IF(AND(F6&gt;=INDEX(Cultures_reference!$D$5:$D$10,MATCH($D6,Cultures_reference!$A$5:$A$10,0)),F6&lt;=INDEX(Cultures_reference!$E$5:$E$10,MATCH($D6,Cultures_reference!$A$5:$A$10,0))),1,IF(OR(F6&lt;INDEX(Cultures_reference!$D$5:$D$10,MATCH($D6,Cultures_reference!$A$5:$A$10,0))-0.15*(INDEX(Cultures_reference!$E$5:$E$10,MATCH($D6,Cultures_reference!$A$5:$A$10,0))-INDEX(Cultures_reference!$D$5:$D$10,MATCH($D6,Cultures_reference!$A$5:$A$10,0))),F6&gt;INDEX(Cultures_reference!$E$5:$E$10,MATCH($D6,Cultures_reference!$A$5:$A$10,0))+0.15*(INDEX(Cultures_reference!$E$5:$E$10,MATCH($D6,Cultures_reference!$A$5:$A$10,0))-INDEX(Cultures_reference!$D$5:$D$10,MATCH($D6,Cultures_reference!$A$5:$A$10,0)))),0,0.5))</f>
        <v>1</v>
      </c>
      <c r="L6" s="17" t="n">
        <f aca="false">IF(AND(H6&gt;=INDEX(Cultures_reference!$B$5:$B$10,MATCH($D6,Cultures_reference!$A$5:$A$10,0)),H6&lt;=INDEX(Cultures_reference!$C$5:$C$10,MATCH($D6,Cultures_reference!$A$5:$A$10,0))),1,IF(OR(H6&lt;INDEX(Cultures_reference!$B$5:$B$10,MATCH($D6,Cultures_reference!$A$5:$A$10,0))-0.15*(INDEX(Cultures_reference!$C$5:$C$10,MATCH($D6,Cultures_reference!$A$5:$A$10,0))-INDEX(Cultures_reference!$B$5:$B$10,MATCH($D6,Cultures_reference!$A$5:$A$10,0))),H6&gt;INDEX(Cultures_reference!$C$5:$C$10,MATCH($D6,Cultures_reference!$A$5:$A$10,0))+0.15*(INDEX(Cultures_reference!$C$5:$C$10,MATCH($D6,Cultures_reference!$A$5:$A$10,0))-INDEX(Cultures_reference!$B$5:$B$10,MATCH($D6,Cultures_reference!$A$5:$A$10,0)))),0,0.5))</f>
        <v>1</v>
      </c>
      <c r="M6" s="17" t="n">
        <f aca="false">IF(I6&lt;=INDEX(Cultures_reference!$F$5:$F$10,MATCH($D6,Cultures_reference!$A$5:$A$10,0)),1,IF(I6&lt;=1.15*INDEX(Cultures_reference!$F$5:$F$10,MATCH($D6,Cultures_reference!$A$5:$A$10,0)),0.5,0))</f>
        <v>1</v>
      </c>
      <c r="N6" s="18" t="n">
        <f aca="false">AVERAGE(K6:M6)</f>
        <v>1</v>
      </c>
      <c r="O6" s="13" t="str">
        <f aca="false">IF(N6&gt;=0.8,"Adapté",IF(N6&gt;=0.5,"Possible avec corrections","Déconseillé"))</f>
        <v>Adapté</v>
      </c>
      <c r="P6" s="13" t="str">
        <f aca="false">TRIM(IF(K6&lt;1,IF(F6&lt;INDEX(Cultures_reference!$D$5:$D$10,MATCH($D6,Cultures_reference!$A$5:$A$10,0)),"Irriguer (sol trop sec); ","Drainer (sol trop humide); "),"")&amp;IF(L6&lt;1,IF(H6&lt;INDEX(Cultures_reference!$B$5:$B$10,MATCH($D6,Cultures_reference!$A$5:$A$10,0)),"Chauler (pH trop acide); ","Amender (pH trop basique); "),"")&amp;IF(M6&lt;1,"Lessiver / réduire la salinité (EC élevée); ","")&amp;IF(N6&gt;=0.8,"Sol adapté, aucun apport majeur nécessaire.",""))</f>
        <v>Sol adapté, aucun apport majeur nécessaire.</v>
      </c>
    </row>
    <row r="7" customFormat="false" ht="15" hidden="false" customHeight="false" outlineLevel="0" collapsed="false">
      <c r="A7" s="12" t="n">
        <v>3</v>
      </c>
      <c r="B7" s="12" t="n">
        <v>1</v>
      </c>
      <c r="C7" s="13" t="str">
        <f aca="false">INDEX(Campagnes!$C$4:$C$5,MATCH(B7,Campagnes!$A$4:$A$5,0))</f>
        <v>Champ Nord</v>
      </c>
      <c r="D7" s="12" t="s">
        <v>139</v>
      </c>
      <c r="E7" s="13" t="n">
        <f aca="false">COUNTIF(Mesures!$B$4:$B$14,B7)</f>
        <v>6</v>
      </c>
      <c r="F7" s="14" t="n">
        <f aca="false">AVERAGEIF(Mesures!$B$4:$B$14,B7,Mesures!$F$4:$F$14)</f>
        <v>25</v>
      </c>
      <c r="G7" s="15" t="n">
        <f aca="false">SQRT(SUMPRODUCT((Mesures!$B$4:$B$14=B7)*(Mesures!$F$4:$F$14-F7)^2)/(E7-1))</f>
        <v>2.28210429209535</v>
      </c>
      <c r="H7" s="15" t="n">
        <f aca="false">AVERAGEIF(Mesures!$B$4:$B$14,B7,Mesures!$G$4:$G$14)</f>
        <v>6.04666666666667</v>
      </c>
      <c r="I7" s="16" t="n">
        <f aca="false">AVERAGEIF(Mesures!$B$4:$B$14,B7,Mesures!$H$4:$H$14)</f>
        <v>981.833333333333</v>
      </c>
      <c r="J7" s="14" t="n">
        <f aca="false">AVERAGEIF(Mesures!$B$4:$B$14,B7,Mesures!$L$4:$L$14)</f>
        <v>26.9833333333333</v>
      </c>
      <c r="K7" s="14" t="n">
        <f aca="false">IF(AND(F7&gt;=INDEX(Cultures_reference!$D$5:$D$10,MATCH($D7,Cultures_reference!$A$5:$A$10,0)),F7&lt;=INDEX(Cultures_reference!$E$5:$E$10,MATCH($D7,Cultures_reference!$A$5:$A$10,0))),1,IF(OR(F7&lt;INDEX(Cultures_reference!$D$5:$D$10,MATCH($D7,Cultures_reference!$A$5:$A$10,0))-0.15*(INDEX(Cultures_reference!$E$5:$E$10,MATCH($D7,Cultures_reference!$A$5:$A$10,0))-INDEX(Cultures_reference!$D$5:$D$10,MATCH($D7,Cultures_reference!$A$5:$A$10,0))),F7&gt;INDEX(Cultures_reference!$E$5:$E$10,MATCH($D7,Cultures_reference!$A$5:$A$10,0))+0.15*(INDEX(Cultures_reference!$E$5:$E$10,MATCH($D7,Cultures_reference!$A$5:$A$10,0))-INDEX(Cultures_reference!$D$5:$D$10,MATCH($D7,Cultures_reference!$A$5:$A$10,0)))),0,0.5))</f>
        <v>1</v>
      </c>
      <c r="L7" s="14" t="n">
        <f aca="false">IF(AND(H7&gt;=INDEX(Cultures_reference!$B$5:$B$10,MATCH($D7,Cultures_reference!$A$5:$A$10,0)),H7&lt;=INDEX(Cultures_reference!$C$5:$C$10,MATCH($D7,Cultures_reference!$A$5:$A$10,0))),1,IF(OR(H7&lt;INDEX(Cultures_reference!$B$5:$B$10,MATCH($D7,Cultures_reference!$A$5:$A$10,0))-0.15*(INDEX(Cultures_reference!$C$5:$C$10,MATCH($D7,Cultures_reference!$A$5:$A$10,0))-INDEX(Cultures_reference!$B$5:$B$10,MATCH($D7,Cultures_reference!$A$5:$A$10,0))),H7&gt;INDEX(Cultures_reference!$C$5:$C$10,MATCH($D7,Cultures_reference!$A$5:$A$10,0))+0.15*(INDEX(Cultures_reference!$C$5:$C$10,MATCH($D7,Cultures_reference!$A$5:$A$10,0))-INDEX(Cultures_reference!$B$5:$B$10,MATCH($D7,Cultures_reference!$A$5:$A$10,0)))),0,0.5))</f>
        <v>1</v>
      </c>
      <c r="M7" s="14" t="n">
        <f aca="false">IF(I7&lt;=INDEX(Cultures_reference!$F$5:$F$10,MATCH($D7,Cultures_reference!$A$5:$A$10,0)),1,IF(I7&lt;=1.15*INDEX(Cultures_reference!$F$5:$F$10,MATCH($D7,Cultures_reference!$A$5:$A$10,0)),0.5,0))</f>
        <v>1</v>
      </c>
      <c r="N7" s="15" t="n">
        <f aca="false">AVERAGE(K7:M7)</f>
        <v>1</v>
      </c>
      <c r="O7" s="13" t="str">
        <f aca="false">IF(N7&gt;=0.8,"Adapté",IF(N7&gt;=0.5,"Possible avec corrections","Déconseillé"))</f>
        <v>Adapté</v>
      </c>
      <c r="P7" s="13" t="str">
        <f aca="false">TRIM(IF(K7&lt;1,IF(F7&lt;INDEX(Cultures_reference!$D$5:$D$10,MATCH($D7,Cultures_reference!$A$5:$A$10,0)),"Irriguer (sol trop sec); ","Drainer (sol trop humide); "),"")&amp;IF(L7&lt;1,IF(H7&lt;INDEX(Cultures_reference!$B$5:$B$10,MATCH($D7,Cultures_reference!$A$5:$A$10,0)),"Chauler (pH trop acide); ","Amender (pH trop basique); "),"")&amp;IF(M7&lt;1,"Lessiver / réduire la salinité (EC élevée); ","")&amp;IF(N7&gt;=0.8,"Sol adapté, aucun apport majeur nécessaire.",""))</f>
        <v>Sol adapté, aucun apport majeur nécessaire.</v>
      </c>
    </row>
    <row r="8" customFormat="false" ht="23.85" hidden="false" customHeight="false" outlineLevel="0" collapsed="false">
      <c r="A8" s="12" t="n">
        <v>4</v>
      </c>
      <c r="B8" s="12" t="n">
        <v>2</v>
      </c>
      <c r="C8" s="13" t="str">
        <f aca="false">INDEX(Campagnes!$C$4:$C$5,MATCH(B8,Campagnes!$A$4:$A$5,0))</f>
        <v>Champ Sud (bas-fond)</v>
      </c>
      <c r="D8" s="12" t="s">
        <v>136</v>
      </c>
      <c r="E8" s="13" t="n">
        <f aca="false">COUNTIF(Mesures!$B$4:$B$14,B8)</f>
        <v>5</v>
      </c>
      <c r="F8" s="17" t="n">
        <f aca="false">AVERAGEIF(Mesures!$B$4:$B$14,B8,Mesures!$F$4:$F$14)</f>
        <v>40.92</v>
      </c>
      <c r="G8" s="18" t="n">
        <f aca="false">SQRT(SUMPRODUCT((Mesures!$B$4:$B$14=B8)*(Mesures!$F$4:$F$14-F8)^2)/(E8-1))</f>
        <v>2.5907527863538</v>
      </c>
      <c r="H8" s="18" t="n">
        <f aca="false">AVERAGEIF(Mesures!$B$4:$B$14,B8,Mesures!$G$4:$G$14)</f>
        <v>5.648</v>
      </c>
      <c r="I8" s="19" t="n">
        <f aca="false">AVERAGEIF(Mesures!$B$4:$B$14,B8,Mesures!$H$4:$H$14)</f>
        <v>1403.4</v>
      </c>
      <c r="J8" s="17" t="n">
        <f aca="false">AVERAGEIF(Mesures!$B$4:$B$14,B8,Mesures!$L$4:$L$14)</f>
        <v>26.3</v>
      </c>
      <c r="K8" s="17" t="n">
        <f aca="false">IF(AND(F8&gt;=INDEX(Cultures_reference!$D$5:$D$10,MATCH($D8,Cultures_reference!$A$5:$A$10,0)),F8&lt;=INDEX(Cultures_reference!$E$5:$E$10,MATCH($D8,Cultures_reference!$A$5:$A$10,0))),1,IF(OR(F8&lt;INDEX(Cultures_reference!$D$5:$D$10,MATCH($D8,Cultures_reference!$A$5:$A$10,0))-0.15*(INDEX(Cultures_reference!$E$5:$E$10,MATCH($D8,Cultures_reference!$A$5:$A$10,0))-INDEX(Cultures_reference!$D$5:$D$10,MATCH($D8,Cultures_reference!$A$5:$A$10,0))),F8&gt;INDEX(Cultures_reference!$E$5:$E$10,MATCH($D8,Cultures_reference!$A$5:$A$10,0))+0.15*(INDEX(Cultures_reference!$E$5:$E$10,MATCH($D8,Cultures_reference!$A$5:$A$10,0))-INDEX(Cultures_reference!$D$5:$D$10,MATCH($D8,Cultures_reference!$A$5:$A$10,0)))),0,0.5))</f>
        <v>1</v>
      </c>
      <c r="L8" s="17" t="n">
        <f aca="false">IF(AND(H8&gt;=INDEX(Cultures_reference!$B$5:$B$10,MATCH($D8,Cultures_reference!$A$5:$A$10,0)),H8&lt;=INDEX(Cultures_reference!$C$5:$C$10,MATCH($D8,Cultures_reference!$A$5:$A$10,0))),1,IF(OR(H8&lt;INDEX(Cultures_reference!$B$5:$B$10,MATCH($D8,Cultures_reference!$A$5:$A$10,0))-0.15*(INDEX(Cultures_reference!$C$5:$C$10,MATCH($D8,Cultures_reference!$A$5:$A$10,0))-INDEX(Cultures_reference!$B$5:$B$10,MATCH($D8,Cultures_reference!$A$5:$A$10,0))),H8&gt;INDEX(Cultures_reference!$C$5:$C$10,MATCH($D8,Cultures_reference!$A$5:$A$10,0))+0.15*(INDEX(Cultures_reference!$C$5:$C$10,MATCH($D8,Cultures_reference!$A$5:$A$10,0))-INDEX(Cultures_reference!$B$5:$B$10,MATCH($D8,Cultures_reference!$A$5:$A$10,0)))),0,0.5))</f>
        <v>1</v>
      </c>
      <c r="M8" s="17" t="n">
        <f aca="false">IF(I8&lt;=INDEX(Cultures_reference!$F$5:$F$10,MATCH($D8,Cultures_reference!$A$5:$A$10,0)),1,IF(I8&lt;=1.15*INDEX(Cultures_reference!$F$5:$F$10,MATCH($D8,Cultures_reference!$A$5:$A$10,0)),0.5,0))</f>
        <v>1</v>
      </c>
      <c r="N8" s="18" t="n">
        <f aca="false">AVERAGE(K8:M8)</f>
        <v>1</v>
      </c>
      <c r="O8" s="13" t="str">
        <f aca="false">IF(N8&gt;=0.8,"Adapté",IF(N8&gt;=0.5,"Possible avec corrections","Déconseillé"))</f>
        <v>Adapté</v>
      </c>
      <c r="P8" s="13" t="str">
        <f aca="false">TRIM(IF(K8&lt;1,IF(F8&lt;INDEX(Cultures_reference!$D$5:$D$10,MATCH($D8,Cultures_reference!$A$5:$A$10,0)),"Irriguer (sol trop sec); ","Drainer (sol trop humide); "),"")&amp;IF(L8&lt;1,IF(H8&lt;INDEX(Cultures_reference!$B$5:$B$10,MATCH($D8,Cultures_reference!$A$5:$A$10,0)),"Chauler (pH trop acide); ","Amender (pH trop basique); "),"")&amp;IF(M8&lt;1,"Lessiver / réduire la salinité (EC élevée); ","")&amp;IF(N8&gt;=0.8,"Sol adapté, aucun apport majeur nécessaire.",""))</f>
        <v>Sol adapté, aucun apport majeur nécessaire.</v>
      </c>
    </row>
    <row r="9" customFormat="false" ht="23.85" hidden="false" customHeight="false" outlineLevel="0" collapsed="false">
      <c r="A9" s="12" t="n">
        <v>5</v>
      </c>
      <c r="B9" s="12" t="n">
        <v>2</v>
      </c>
      <c r="C9" s="13" t="str">
        <f aca="false">INDEX(Campagnes!$C$4:$C$5,MATCH(B9,Campagnes!$A$4:$A$5,0))</f>
        <v>Champ Sud (bas-fond)</v>
      </c>
      <c r="D9" s="12" t="s">
        <v>138</v>
      </c>
      <c r="E9" s="13" t="n">
        <f aca="false">COUNTIF(Mesures!$B$4:$B$14,B9)</f>
        <v>5</v>
      </c>
      <c r="F9" s="14" t="n">
        <f aca="false">AVERAGEIF(Mesures!$B$4:$B$14,B9,Mesures!$F$4:$F$14)</f>
        <v>40.92</v>
      </c>
      <c r="G9" s="15" t="n">
        <f aca="false">SQRT(SUMPRODUCT((Mesures!$B$4:$B$14=B9)*(Mesures!$F$4:$F$14-F9)^2)/(E9-1))</f>
        <v>2.5907527863538</v>
      </c>
      <c r="H9" s="15" t="n">
        <f aca="false">AVERAGEIF(Mesures!$B$4:$B$14,B9,Mesures!$G$4:$G$14)</f>
        <v>5.648</v>
      </c>
      <c r="I9" s="16" t="n">
        <f aca="false">AVERAGEIF(Mesures!$B$4:$B$14,B9,Mesures!$H$4:$H$14)</f>
        <v>1403.4</v>
      </c>
      <c r="J9" s="14" t="n">
        <f aca="false">AVERAGEIF(Mesures!$B$4:$B$14,B9,Mesures!$L$4:$L$14)</f>
        <v>26.3</v>
      </c>
      <c r="K9" s="14" t="n">
        <f aca="false">IF(AND(F9&gt;=INDEX(Cultures_reference!$D$5:$D$10,MATCH($D9,Cultures_reference!$A$5:$A$10,0)),F9&lt;=INDEX(Cultures_reference!$E$5:$E$10,MATCH($D9,Cultures_reference!$A$5:$A$10,0))),1,IF(OR(F9&lt;INDEX(Cultures_reference!$D$5:$D$10,MATCH($D9,Cultures_reference!$A$5:$A$10,0))-0.15*(INDEX(Cultures_reference!$E$5:$E$10,MATCH($D9,Cultures_reference!$A$5:$A$10,0))-INDEX(Cultures_reference!$D$5:$D$10,MATCH($D9,Cultures_reference!$A$5:$A$10,0))),F9&gt;INDEX(Cultures_reference!$E$5:$E$10,MATCH($D9,Cultures_reference!$A$5:$A$10,0))+0.15*(INDEX(Cultures_reference!$E$5:$E$10,MATCH($D9,Cultures_reference!$A$5:$A$10,0))-INDEX(Cultures_reference!$D$5:$D$10,MATCH($D9,Cultures_reference!$A$5:$A$10,0)))),0,0.5))</f>
        <v>1</v>
      </c>
      <c r="L9" s="14" t="n">
        <f aca="false">IF(AND(H9&gt;=INDEX(Cultures_reference!$B$5:$B$10,MATCH($D9,Cultures_reference!$A$5:$A$10,0)),H9&lt;=INDEX(Cultures_reference!$C$5:$C$10,MATCH($D9,Cultures_reference!$A$5:$A$10,0))),1,IF(OR(H9&lt;INDEX(Cultures_reference!$B$5:$B$10,MATCH($D9,Cultures_reference!$A$5:$A$10,0))-0.15*(INDEX(Cultures_reference!$C$5:$C$10,MATCH($D9,Cultures_reference!$A$5:$A$10,0))-INDEX(Cultures_reference!$B$5:$B$10,MATCH($D9,Cultures_reference!$A$5:$A$10,0))),H9&gt;INDEX(Cultures_reference!$C$5:$C$10,MATCH($D9,Cultures_reference!$A$5:$A$10,0))+0.15*(INDEX(Cultures_reference!$C$5:$C$10,MATCH($D9,Cultures_reference!$A$5:$A$10,0))-INDEX(Cultures_reference!$B$5:$B$10,MATCH($D9,Cultures_reference!$A$5:$A$10,0)))),0,0.5))</f>
        <v>1</v>
      </c>
      <c r="M9" s="14" t="n">
        <f aca="false">IF(I9&lt;=INDEX(Cultures_reference!$F$5:$F$10,MATCH($D9,Cultures_reference!$A$5:$A$10,0)),1,IF(I9&lt;=1.15*INDEX(Cultures_reference!$F$5:$F$10,MATCH($D9,Cultures_reference!$A$5:$A$10,0)),0.5,0))</f>
        <v>1</v>
      </c>
      <c r="N9" s="15" t="n">
        <f aca="false">AVERAGE(K9:M9)</f>
        <v>1</v>
      </c>
      <c r="O9" s="13" t="str">
        <f aca="false">IF(N9&gt;=0.8,"Adapté",IF(N9&gt;=0.5,"Possible avec corrections","Déconseillé"))</f>
        <v>Adapté</v>
      </c>
      <c r="P9" s="13" t="str">
        <f aca="false">TRIM(IF(K9&lt;1,IF(F9&lt;INDEX(Cultures_reference!$D$5:$D$10,MATCH($D9,Cultures_reference!$A$5:$A$10,0)),"Irriguer (sol trop sec); ","Drainer (sol trop humide); "),"")&amp;IF(L9&lt;1,IF(H9&lt;INDEX(Cultures_reference!$B$5:$B$10,MATCH($D9,Cultures_reference!$A$5:$A$10,0)),"Chauler (pH trop acide); ","Amender (pH trop basique); "),"")&amp;IF(M9&lt;1,"Lessiver / réduire la salinité (EC élevée); ","")&amp;IF(N9&gt;=0.8,"Sol adapté, aucun apport majeur nécessaire.",""))</f>
        <v>Sol adapté, aucun apport majeur nécessaire.</v>
      </c>
    </row>
    <row r="10" customFormat="false" ht="23.85" hidden="false" customHeight="false" outlineLevel="0" collapsed="false">
      <c r="A10" s="12" t="n">
        <v>6</v>
      </c>
      <c r="B10" s="12" t="n">
        <v>2</v>
      </c>
      <c r="C10" s="13" t="str">
        <f aca="false">INDEX(Campagnes!$C$4:$C$5,MATCH(B10,Campagnes!$A$4:$A$5,0))</f>
        <v>Champ Sud (bas-fond)</v>
      </c>
      <c r="D10" s="12" t="s">
        <v>137</v>
      </c>
      <c r="E10" s="13" t="n">
        <f aca="false">COUNTIF(Mesures!$B$4:$B$14,B10)</f>
        <v>5</v>
      </c>
      <c r="F10" s="17" t="n">
        <f aca="false">AVERAGEIF(Mesures!$B$4:$B$14,B10,Mesures!$F$4:$F$14)</f>
        <v>40.92</v>
      </c>
      <c r="G10" s="18" t="n">
        <f aca="false">SQRT(SUMPRODUCT((Mesures!$B$4:$B$14=B10)*(Mesures!$F$4:$F$14-F10)^2)/(E10-1))</f>
        <v>2.5907527863538</v>
      </c>
      <c r="H10" s="18" t="n">
        <f aca="false">AVERAGEIF(Mesures!$B$4:$B$14,B10,Mesures!$G$4:$G$14)</f>
        <v>5.648</v>
      </c>
      <c r="I10" s="19" t="n">
        <f aca="false">AVERAGEIF(Mesures!$B$4:$B$14,B10,Mesures!$H$4:$H$14)</f>
        <v>1403.4</v>
      </c>
      <c r="J10" s="17" t="n">
        <f aca="false">AVERAGEIF(Mesures!$B$4:$B$14,B10,Mesures!$L$4:$L$14)</f>
        <v>26.3</v>
      </c>
      <c r="K10" s="17" t="n">
        <f aca="false">IF(AND(F10&gt;=INDEX(Cultures_reference!$D$5:$D$10,MATCH($D10,Cultures_reference!$A$5:$A$10,0)),F10&lt;=INDEX(Cultures_reference!$E$5:$E$10,MATCH($D10,Cultures_reference!$A$5:$A$10,0))),1,IF(OR(F10&lt;INDEX(Cultures_reference!$D$5:$D$10,MATCH($D10,Cultures_reference!$A$5:$A$10,0))-0.15*(INDEX(Cultures_reference!$E$5:$E$10,MATCH($D10,Cultures_reference!$A$5:$A$10,0))-INDEX(Cultures_reference!$D$5:$D$10,MATCH($D10,Cultures_reference!$A$5:$A$10,0))),F10&gt;INDEX(Cultures_reference!$E$5:$E$10,MATCH($D10,Cultures_reference!$A$5:$A$10,0))+0.15*(INDEX(Cultures_reference!$E$5:$E$10,MATCH($D10,Cultures_reference!$A$5:$A$10,0))-INDEX(Cultures_reference!$D$5:$D$10,MATCH($D10,Cultures_reference!$A$5:$A$10,0)))),0,0.5))</f>
        <v>0</v>
      </c>
      <c r="L10" s="17" t="n">
        <f aca="false">IF(AND(H10&gt;=INDEX(Cultures_reference!$B$5:$B$10,MATCH($D10,Cultures_reference!$A$5:$A$10,0)),H10&lt;=INDEX(Cultures_reference!$C$5:$C$10,MATCH($D10,Cultures_reference!$A$5:$A$10,0))),1,IF(OR(H10&lt;INDEX(Cultures_reference!$B$5:$B$10,MATCH($D10,Cultures_reference!$A$5:$A$10,0))-0.15*(INDEX(Cultures_reference!$C$5:$C$10,MATCH($D10,Cultures_reference!$A$5:$A$10,0))-INDEX(Cultures_reference!$B$5:$B$10,MATCH($D10,Cultures_reference!$A$5:$A$10,0))),H10&gt;INDEX(Cultures_reference!$C$5:$C$10,MATCH($D10,Cultures_reference!$A$5:$A$10,0))+0.15*(INDEX(Cultures_reference!$C$5:$C$10,MATCH($D10,Cultures_reference!$A$5:$A$10,0))-INDEX(Cultures_reference!$B$5:$B$10,MATCH($D10,Cultures_reference!$A$5:$A$10,0)))),0,0.5))</f>
        <v>0.5</v>
      </c>
      <c r="M10" s="17" t="n">
        <f aca="false">IF(I10&lt;=INDEX(Cultures_reference!$F$5:$F$10,MATCH($D10,Cultures_reference!$A$5:$A$10,0)),1,IF(I10&lt;=1.15*INDEX(Cultures_reference!$F$5:$F$10,MATCH($D10,Cultures_reference!$A$5:$A$10,0)),0.5,0))</f>
        <v>1</v>
      </c>
      <c r="N10" s="18" t="n">
        <f aca="false">AVERAGE(K10:M10)</f>
        <v>0.5</v>
      </c>
      <c r="O10" s="13" t="str">
        <f aca="false">IF(N10&gt;=0.8,"Adapté",IF(N10&gt;=0.5,"Possible avec corrections","Déconseillé"))</f>
        <v>Possible avec corrections</v>
      </c>
      <c r="P10" s="13" t="str">
        <f aca="false">TRIM(IF(K10&lt;1,IF(F10&lt;INDEX(Cultures_reference!$D$5:$D$10,MATCH($D10,Cultures_reference!$A$5:$A$10,0)),"Irriguer (sol trop sec); ","Drainer (sol trop humide); "),"")&amp;IF(L10&lt;1,IF(H10&lt;INDEX(Cultures_reference!$B$5:$B$10,MATCH($D10,Cultures_reference!$A$5:$A$10,0)),"Chauler (pH trop acide); ","Amender (pH trop basique); "),"")&amp;IF(M10&lt;1,"Lessiver / réduire la salinité (EC élevée); ","")&amp;IF(N10&gt;=0.8,"Sol adapté, aucun apport majeur nécessaire.",""))</f>
        <v>Drainer (sol trop humide); Chauler (pH trop acide);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2026-10-04T01:01:02Z</dcterms:created>
  <dc:creator>openpyxl</dc:creator>
  <dc:description/>
  <dc:language>en-US</dc:language>
  <cp:lastModifiedBy/>
  <dcterms:modified xsi:type="dcterms:W3CDTF">2026-10-04T01:01:03Z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